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feroswiss-my.sharepoint.com/personal/thiago_cunha_transfero_com/Documents/Documents/GitHub/Portfolio/Analises/Financas/"/>
    </mc:Choice>
  </mc:AlternateContent>
  <xr:revisionPtr revIDLastSave="209" documentId="8_{196C2FF4-0DA8-4F9F-BFAA-2B5DF9350DB8}" xr6:coauthVersionLast="47" xr6:coauthVersionMax="47" xr10:uidLastSave="{C43E3CAD-CD52-4B52-AF86-123FFC93EA2F}"/>
  <bookViews>
    <workbookView xWindow="-120" yWindow="-120" windowWidth="29040" windowHeight="15720" activeTab="2" xr2:uid="{1502479B-278D-479A-8AB5-81E13C922CC1}"/>
  </bookViews>
  <sheets>
    <sheet name="Rascunho" sheetId="1" r:id="rId1"/>
    <sheet name="BC" sheetId="2" r:id="rId2"/>
    <sheet name="Exercic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EY5" i="3" l="1"/>
  <c r="XEY4" i="3"/>
  <c r="XEY2" i="3"/>
  <c r="C32" i="3"/>
  <c r="C31" i="3"/>
  <c r="C30" i="3"/>
  <c r="A26" i="3"/>
  <c r="A25" i="3"/>
  <c r="A24" i="3"/>
  <c r="A20" i="3"/>
  <c r="C9" i="3"/>
  <c r="B9" i="3"/>
  <c r="B6" i="3"/>
  <c r="B5" i="3"/>
  <c r="B4" i="3"/>
  <c r="D64" i="1"/>
  <c r="C64" i="1"/>
  <c r="B9" i="2"/>
  <c r="A7" i="2"/>
  <c r="C3" i="2"/>
  <c r="C62" i="1"/>
  <c r="B62" i="1"/>
  <c r="H12" i="1"/>
  <c r="F12" i="1"/>
  <c r="D12" i="1"/>
  <c r="B12" i="1"/>
  <c r="A12" i="1"/>
  <c r="E10" i="1"/>
  <c r="D10" i="1"/>
  <c r="B48" i="1" l="1"/>
  <c r="A56" i="1" s="1"/>
  <c r="A53" i="1"/>
  <c r="A55" i="1" s="1"/>
  <c r="B50" i="1"/>
  <c r="F2" i="1"/>
  <c r="B49" i="1"/>
  <c r="F37" i="1"/>
  <c r="G37" i="1" s="1"/>
  <c r="B10" i="1" l="1"/>
  <c r="B18" i="1"/>
  <c r="C17" i="1"/>
  <c r="C19" i="1" s="1"/>
  <c r="B19" i="1" s="1"/>
  <c r="B21" i="1" s="1"/>
  <c r="B22" i="1" s="1"/>
  <c r="A8" i="1"/>
  <c r="A10" i="1" s="1"/>
  <c r="B8" i="1"/>
  <c r="D8" i="1"/>
  <c r="B34" i="1" s="1"/>
  <c r="C34" i="1" s="1"/>
  <c r="D34" i="1" s="1"/>
  <c r="F3" i="1"/>
  <c r="E2" i="1"/>
  <c r="E3" i="1" s="1"/>
  <c r="F8" i="1" l="1"/>
  <c r="E25" i="1"/>
  <c r="H13" i="1"/>
  <c r="I3" i="1"/>
  <c r="E35" i="1"/>
</calcChain>
</file>

<file path=xl/sharedStrings.xml><?xml version="1.0" encoding="utf-8"?>
<sst xmlns="http://schemas.openxmlformats.org/spreadsheetml/2006/main" count="123" uniqueCount="115">
  <si>
    <t>dólar spot</t>
  </si>
  <si>
    <t>dólar fut</t>
  </si>
  <si>
    <t>sperad/casado</t>
  </si>
  <si>
    <t>S</t>
  </si>
  <si>
    <t>F</t>
  </si>
  <si>
    <t>S-F</t>
  </si>
  <si>
    <t>selic</t>
  </si>
  <si>
    <t>jurosEUA</t>
  </si>
  <si>
    <t>real</t>
  </si>
  <si>
    <t>R</t>
  </si>
  <si>
    <t>mês</t>
  </si>
  <si>
    <t>ano</t>
  </si>
  <si>
    <t>cupom cambial</t>
  </si>
  <si>
    <t>caminho 1: ficar em real</t>
  </si>
  <si>
    <t>5 meses</t>
  </si>
  <si>
    <t>caminho 2: passar por dolar</t>
  </si>
  <si>
    <t>Digamos que temos 5 reais</t>
  </si>
  <si>
    <t>5 meses em juros dolar</t>
  </si>
  <si>
    <t>trocar pra real dnv</t>
  </si>
  <si>
    <t>Veja que interessante, o juros em dolar no Brasil em 5 meses rendeu 0.09255 reais enquanto o juros real rendeu  0.28</t>
  </si>
  <si>
    <t>Essa seria uma oportunidade de arbitragem</t>
  </si>
  <si>
    <t>Poderíamos explora-la fazendo o seguinte:</t>
  </si>
  <si>
    <t>rendimento total:</t>
  </si>
  <si>
    <t>rendimento total</t>
  </si>
  <si>
    <t>em 5 meses</t>
  </si>
  <si>
    <t>rendimento de 1.0979%/mês</t>
  </si>
  <si>
    <t>37 bps / mês</t>
  </si>
  <si>
    <t>dol</t>
  </si>
  <si>
    <t>reais</t>
  </si>
  <si>
    <t>custo</t>
  </si>
  <si>
    <t>rendimento</t>
  </si>
  <si>
    <t>de spread ganho de graça</t>
  </si>
  <si>
    <t>Evitar arbitragem:</t>
  </si>
  <si>
    <t>1+i = (1+c)*F/S</t>
  </si>
  <si>
    <t>Ou seja, nesse caso, nosso cupom cambial é</t>
  </si>
  <si>
    <t>pegar dinheiro emprestado em dólar pagando juros de 0.5%/mês (pouco acima do juros base) ~6,17%/ano</t>
  </si>
  <si>
    <t>Partimos do principio de que spread/casado = 5 e dolar spot = fut = 5</t>
  </si>
  <si>
    <t>ou seja, o cupom cambial = selic</t>
  </si>
  <si>
    <t>Ajuste de dólar futuro</t>
  </si>
  <si>
    <t>spread = R$ -0,18</t>
  </si>
  <si>
    <t>Ficar em real por 5 meses renderá 5 -&gt; 5.28056</t>
  </si>
  <si>
    <t>Ficar em dolar por 5 meses...</t>
  </si>
  <si>
    <t xml:space="preserve">F sobe para </t>
  </si>
  <si>
    <t>comparado com o juros EUA em 5 meses</t>
  </si>
  <si>
    <t>Como achar F que zere a arbitragem</t>
  </si>
  <si>
    <t>Perceba que o dolar FUT para 5 meses está precificado tal que</t>
  </si>
  <si>
    <t>por mês</t>
  </si>
  <si>
    <t>que é apprx jBR - jEUA</t>
  </si>
  <si>
    <t>ora, se em 5 meses</t>
  </si>
  <si>
    <t>F/S = (1+i)/(1+juro_externo)</t>
  </si>
  <si>
    <t>F/5 = (1+i)^5 / (1+jEUA)^5 = 1.056112918/1.018509586 = 1.036920</t>
  </si>
  <si>
    <t>F = 5*1.03692 = 5.1846</t>
  </si>
  <si>
    <t>Exemplo real</t>
  </si>
  <si>
    <t>juros EUA = 3,65% ano</t>
  </si>
  <si>
    <t>/mês</t>
  </si>
  <si>
    <t>/dia_util</t>
  </si>
  <si>
    <t>selic = 14,25</t>
  </si>
  <si>
    <t xml:space="preserve">dolar spot </t>
  </si>
  <si>
    <t>dolar fut (6 dias uteis)</t>
  </si>
  <si>
    <t>batem quase na virgula!</t>
  </si>
  <si>
    <t>(1+i)/(1+j)</t>
  </si>
  <si>
    <t>F/S</t>
  </si>
  <si>
    <t>Deduzindo o cupom cambial e calculando-o para esse caso</t>
  </si>
  <si>
    <t>USD/BRL</t>
  </si>
  <si>
    <t>caminho 1.2: ficar em dolar</t>
  </si>
  <si>
    <t xml:space="preserve">bateu com a selic pois cravamos S=F </t>
  </si>
  <si>
    <t>S*(1+i) = (1+c)*F</t>
  </si>
  <si>
    <t>S/F*(1+i) - 1=c</t>
  </si>
  <si>
    <t>aplicando:</t>
  </si>
  <si>
    <t>c.c. em 6 dias</t>
  </si>
  <si>
    <t>c.c. anualizado</t>
  </si>
  <si>
    <t>compare com o juros real no EUA que é ~3,7% . São parecidos, mas não exatos. Há uma certa fricção entre os dois sistemas financeiros.</t>
  </si>
  <si>
    <t>spot no juros interno tem que valer o mesmo que cambio no juros externo futuramente</t>
  </si>
  <si>
    <t>"BC oferta casadão com até US$ 1 bilhão em leilão à vista e, simultaneamente, swap cambial reverso de até 20.000 contratos."</t>
  </si>
  <si>
    <t>1 contrato de swap = $ 50k</t>
  </si>
  <si>
    <t>contratos</t>
  </si>
  <si>
    <t>Direção líquida no dólar ≈ zero → é uma operação para ajustar o cupom/liquidez de curtíssimo prazo, não para empurrar o dólar para cima ou para baixo.</t>
  </si>
  <si>
    <t>"BC não deve rolar US$ 2,05 bi de linha; estoque cai para US$ 2 bi."</t>
  </si>
  <si>
    <t>Recolhe um pouco de dólar emprestado, sem drama → liquidez confortável.</t>
  </si>
  <si>
    <t>"Voltou a 50.000 contratos para rolagem."</t>
  </si>
  <si>
    <r>
      <t xml:space="preserve">$ por leilão. Ritmo cheio → intenção de manter </t>
    </r>
    <r>
      <rPr>
        <b/>
        <sz val="11"/>
        <color theme="1"/>
        <rFont val="Aptos Narrow"/>
        <family val="2"/>
        <scheme val="minor"/>
      </rPr>
      <t>o estoque de hedge.</t>
    </r>
  </si>
  <si>
    <t>"Já rolou 550.000 contratos com vencimento em 1/jul."</t>
  </si>
  <si>
    <t>É o tamanho do lote sendo rolado → manutenção, sem susto.</t>
  </si>
  <si>
    <r>
      <rPr>
        <b/>
        <sz val="11"/>
        <color theme="1"/>
        <rFont val="Aptos Narrow"/>
        <family val="2"/>
        <scheme val="minor"/>
      </rPr>
      <t>Conclusão geral</t>
    </r>
    <r>
      <rPr>
        <sz val="11"/>
        <color theme="1"/>
        <rFont val="Aptos Narrow"/>
        <family val="2"/>
        <scheme val="minor"/>
      </rPr>
      <t>: é um BC em modo manutenção, não em modo crise. Nada de "queimar munição".</t>
    </r>
  </si>
  <si>
    <t>prêmio risco-país</t>
  </si>
  <si>
    <t>1. Juro em REAL (Selic/DI)............... i_BR  ~14,25%   &lt;- nível ALTO</t>
  </si>
  <si>
    <t>2. CUPOM CAMBIAL (juro do dólar AQUI).... c     ~4%        &lt;- o termo CORRETO; nível baixo</t>
  </si>
  <si>
    <t>3. Juro do dólar LÁ FORA (SOFR/Treasury). i_US  ~3,65%    &lt;- nível baixo</t>
  </si>
  <si>
    <t>4. DIFERENCIAL / carry (i_BR − cupom).... ~10%            &lt;- uma DIFERENÇA, não um nível</t>
  </si>
  <si>
    <t>4 Taxas</t>
  </si>
  <si>
    <t>Perceba que o cupom cambial acaba sendo um nivel ancorado no juro externo: c.c. = juros externo + risco-país</t>
  </si>
  <si>
    <t>Carry-trade</t>
  </si>
  <si>
    <t xml:space="preserve"> tomar dólar barato lá fora, aplicar em real caro aqui e não travar o forward. </t>
  </si>
  <si>
    <t>A arbitragem (travada em foward) é nula (o próprio mercado acaba) pois o c.c. converge para o juros externo</t>
  </si>
  <si>
    <t>No entanto, o cary ganha em não travar o futuro, é uma aposta de que o real cairá menos do que o forward previu. Nesse caso o objetivo é capturar o prêmio de risco (geralmente são estratégias com ganhos pequenos e frequentes, mas perdas raras enormes).</t>
  </si>
  <si>
    <r>
      <rPr>
        <b/>
        <sz val="11"/>
        <color theme="1"/>
        <rFont val="Aptos Narrow"/>
        <family val="2"/>
        <scheme val="minor"/>
      </rPr>
      <t>Exercício 1</t>
    </r>
    <r>
      <rPr>
        <sz val="11"/>
        <color theme="1"/>
        <rFont val="Aptos Narrow"/>
        <family val="2"/>
        <scheme val="minor"/>
      </rPr>
      <t xml:space="preserve"> — Traduzindo "contratos" para "dólares" (e a mágica do casadão)</t>
    </r>
  </si>
  <si>
    <t>valor US$</t>
  </si>
  <si>
    <t>Casadão de duas pernas: à vista $ 1bi e swap reverso 20k contratos</t>
  </si>
  <si>
    <t>swap para dolares</t>
  </si>
  <si>
    <t>operação neutra em relação ao dolar</t>
  </si>
  <si>
    <r>
      <rPr>
        <b/>
        <sz val="11"/>
        <color theme="1"/>
        <rFont val="Aptos Narrow"/>
        <family val="2"/>
        <scheme val="minor"/>
      </rPr>
      <t>Exercício 2</t>
    </r>
    <r>
      <rPr>
        <sz val="11"/>
        <color theme="1"/>
        <rFont val="Aptos Narrow"/>
        <family val="2"/>
        <scheme val="minor"/>
      </rPr>
      <t xml:space="preserve"> — O cupom cambial escondido no "casado"</t>
    </r>
  </si>
  <si>
    <t xml:space="preserve">Dado que </t>
  </si>
  <si>
    <t>S = 5,40                     -&gt;  dólar à vista</t>
  </si>
  <si>
    <t>F = 5,4675                   -&gt;  dólar futuro</t>
  </si>
  <si>
    <t xml:space="preserve"> i = 2,5%  (ou seja, 0,025) </t>
  </si>
  <si>
    <t xml:space="preserve"> -&gt;  taxa de juros em real no período</t>
  </si>
  <si>
    <t>Calcular o casado (F-S)</t>
  </si>
  <si>
    <t>Calculando c.c.</t>
  </si>
  <si>
    <t xml:space="preserve">S*(1+i) = F*(1+c) </t>
  </si>
  <si>
    <t>S/F*(1+i) - 1 = c</t>
  </si>
  <si>
    <t>c.c</t>
  </si>
  <si>
    <t>Análise de sensibilidade. Refaça o item (b) para três valores de futuro, mantendo S e i fixos:</t>
  </si>
  <si>
    <t>Cenário</t>
  </si>
  <si>
    <r>
      <rPr>
        <b/>
        <sz val="11"/>
        <color theme="1"/>
        <rFont val="Aptos Narrow"/>
        <family val="2"/>
        <scheme val="minor"/>
      </rPr>
      <t>Exercício 3</t>
    </r>
    <r>
      <rPr>
        <sz val="11"/>
        <color theme="1"/>
        <rFont val="Aptos Narrow"/>
        <family val="2"/>
        <scheme val="minor"/>
      </rPr>
      <t xml:space="preserve"> — A "verdade" do swap: dólar sintético financiado a juros</t>
    </r>
  </si>
  <si>
    <t>Contexto: vamos provar, com números, que um swap cambial entrega a exposição ao dólar menos o custo de juros — ou seja, é um dólar comprado "a prazo, financiado".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</si>
</sst>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5" formatCode="0.000%"/>
    <numFmt numFmtId="166" formatCode="0.0000%"/>
    <numFmt numFmtId="167" formatCode="0.00000%"/>
    <numFmt numFmtId="172" formatCode="_-* #,##0.000000_-;\-* #,##0.000000_-;_-* &quot;-&quot;??_-;_-@_-"/>
    <numFmt numFmtId="177" formatCode="0.000000000"/>
    <numFmt numFmtId="180" formatCode="_-* #,##0.00000000_-;\-* #,##0.00000000_-;_-* &quot;-&quot;??_-;_-@_-"/>
    <numFmt numFmtId="182" formatCode="0.000000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2"/>
      <color rgb="FF9198A1"/>
      <name val="Segoe UI"/>
      <family val="2"/>
    </font>
    <font>
      <b/>
      <sz val="10"/>
      <color rgb="FFF0F6FC"/>
      <name val="Consolas"/>
      <family val="3"/>
    </font>
    <font>
      <b/>
      <i/>
      <sz val="11"/>
      <color theme="1"/>
      <name val="Aptos Narrow"/>
      <family val="2"/>
      <scheme val="minor"/>
    </font>
    <font>
      <b/>
      <i/>
      <sz val="10"/>
      <color rgb="FFF0F6FC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65" fontId="0" fillId="0" borderId="0" xfId="2" applyNumberFormat="1" applyFont="1"/>
    <xf numFmtId="166" fontId="0" fillId="0" borderId="0" xfId="2" applyNumberFormat="1" applyFont="1"/>
    <xf numFmtId="0" fontId="2" fillId="2" borderId="0" xfId="0" applyFont="1" applyFill="1"/>
    <xf numFmtId="0" fontId="2" fillId="3" borderId="0" xfId="0" applyFont="1" applyFill="1"/>
    <xf numFmtId="165" fontId="0" fillId="0" borderId="0" xfId="0" applyNumberFormat="1"/>
    <xf numFmtId="0" fontId="3" fillId="0" borderId="0" xfId="0" applyFont="1"/>
    <xf numFmtId="167" fontId="0" fillId="0" borderId="0" xfId="2" applyNumberFormat="1" applyFont="1"/>
    <xf numFmtId="166" fontId="4" fillId="0" borderId="0" xfId="2" applyNumberFormat="1" applyFont="1"/>
    <xf numFmtId="43" fontId="0" fillId="0" borderId="0" xfId="1" applyFont="1"/>
    <xf numFmtId="43" fontId="0" fillId="0" borderId="0" xfId="0" applyNumberFormat="1"/>
    <xf numFmtId="172" fontId="0" fillId="0" borderId="0" xfId="1" applyNumberFormat="1" applyFont="1"/>
    <xf numFmtId="177" fontId="0" fillId="0" borderId="0" xfId="0" applyNumberFormat="1"/>
    <xf numFmtId="180" fontId="0" fillId="0" borderId="0" xfId="1" applyNumberFormat="1" applyFont="1"/>
    <xf numFmtId="0" fontId="2" fillId="4" borderId="1" xfId="0" applyFont="1" applyFill="1" applyBorder="1"/>
    <xf numFmtId="165" fontId="5" fillId="0" borderId="0" xfId="2" applyNumberFormat="1" applyFont="1"/>
    <xf numFmtId="165" fontId="6" fillId="0" borderId="0" xfId="2" applyNumberFormat="1" applyFont="1"/>
    <xf numFmtId="0" fontId="6" fillId="0" borderId="0" xfId="0" applyFont="1"/>
    <xf numFmtId="0" fontId="7" fillId="0" borderId="0" xfId="0" applyFont="1"/>
    <xf numFmtId="0" fontId="0" fillId="5" borderId="0" xfId="0" applyFill="1"/>
    <xf numFmtId="0" fontId="3" fillId="5" borderId="0" xfId="0" applyFont="1" applyFill="1"/>
    <xf numFmtId="182" fontId="1" fillId="5" borderId="0" xfId="2" applyNumberFormat="1" applyFont="1" applyFill="1"/>
    <xf numFmtId="167" fontId="0" fillId="6" borderId="0" xfId="2" applyNumberFormat="1" applyFont="1" applyFill="1"/>
    <xf numFmtId="0" fontId="3" fillId="6" borderId="0" xfId="0" applyFont="1" applyFill="1"/>
    <xf numFmtId="0" fontId="8" fillId="0" borderId="0" xfId="0" applyFont="1"/>
    <xf numFmtId="0" fontId="0" fillId="0" borderId="0" xfId="0" applyAlignment="1">
      <alignment wrapText="1"/>
    </xf>
    <xf numFmtId="167" fontId="3" fillId="0" borderId="0" xfId="0" applyNumberFormat="1" applyFont="1"/>
    <xf numFmtId="0" fontId="0" fillId="7" borderId="0" xfId="0" applyFill="1"/>
    <xf numFmtId="0" fontId="9" fillId="7" borderId="0" xfId="0" applyFont="1" applyFill="1" applyAlignment="1">
      <alignment horizontal="left" vertical="center" indent="1"/>
    </xf>
    <xf numFmtId="0" fontId="3" fillId="7" borderId="0" xfId="0" applyFont="1" applyFill="1"/>
    <xf numFmtId="0" fontId="10" fillId="8" borderId="1" xfId="0" applyFont="1" applyFill="1" applyBorder="1"/>
    <xf numFmtId="0" fontId="3" fillId="0" borderId="0" xfId="0" applyFont="1" applyFill="1"/>
    <xf numFmtId="0" fontId="11" fillId="7" borderId="0" xfId="0" applyFont="1" applyFill="1" applyAlignment="1">
      <alignment horizontal="left" vertical="center" indent="1"/>
    </xf>
    <xf numFmtId="0" fontId="0" fillId="9" borderId="0" xfId="0" applyFill="1"/>
    <xf numFmtId="0" fontId="3" fillId="9" borderId="2" xfId="0" applyFont="1" applyFill="1" applyBorder="1"/>
    <xf numFmtId="166" fontId="3" fillId="5" borderId="3" xfId="2" applyNumberFormat="1" applyFont="1" applyFill="1" applyBorder="1"/>
    <xf numFmtId="0" fontId="3" fillId="5" borderId="4" xfId="0" applyFont="1" applyFill="1" applyBorder="1"/>
    <xf numFmtId="0" fontId="3" fillId="5" borderId="1" xfId="0" applyFont="1" applyFill="1" applyBorder="1"/>
    <xf numFmtId="167" fontId="3" fillId="5" borderId="2" xfId="2" applyNumberFormat="1" applyFont="1" applyFill="1" applyBorder="1"/>
    <xf numFmtId="0" fontId="0" fillId="0" borderId="2" xfId="0" applyBorder="1"/>
    <xf numFmtId="43" fontId="0" fillId="0" borderId="2" xfId="1" applyFont="1" applyBorder="1"/>
    <xf numFmtId="0" fontId="3" fillId="5" borderId="2" xfId="0" applyFont="1" applyFill="1" applyBorder="1"/>
    <xf numFmtId="43" fontId="3" fillId="5" borderId="2" xfId="0" applyNumberFormat="1" applyFont="1" applyFill="1" applyBorder="1"/>
    <xf numFmtId="43" fontId="3" fillId="5" borderId="0" xfId="0" applyNumberFormat="1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A51D-22C1-4A0E-B79F-61F6ED7E2333}">
  <dimension ref="A1:L64"/>
  <sheetViews>
    <sheetView workbookViewId="0">
      <selection activeCell="A59" sqref="A59"/>
    </sheetView>
  </sheetViews>
  <sheetFormatPr defaultRowHeight="15" x14ac:dyDescent="0.25"/>
  <cols>
    <col min="1" max="1" width="17.85546875" customWidth="1"/>
    <col min="2" max="2" width="13.7109375" customWidth="1"/>
    <col min="3" max="3" width="21.85546875" bestFit="1" customWidth="1"/>
    <col min="4" max="4" width="14.5703125" bestFit="1" customWidth="1"/>
    <col min="5" max="5" width="17.42578125" bestFit="1" customWidth="1"/>
    <col min="6" max="6" width="12" bestFit="1" customWidth="1"/>
    <col min="7" max="7" width="16.28515625" bestFit="1" customWidth="1"/>
    <col min="8" max="8" width="7.140625" bestFit="1" customWidth="1"/>
    <col min="9" max="9" width="11.28515625" bestFit="1" customWidth="1"/>
    <col min="10" max="10" width="10.140625" bestFit="1" customWidth="1"/>
  </cols>
  <sheetData>
    <row r="1" spans="1:9" x14ac:dyDescent="0.25">
      <c r="A1" s="3" t="s">
        <v>8</v>
      </c>
      <c r="B1" s="3" t="s">
        <v>0</v>
      </c>
      <c r="C1" s="3" t="s">
        <v>1</v>
      </c>
      <c r="D1" s="3" t="s">
        <v>2</v>
      </c>
      <c r="E1" s="3" t="s">
        <v>6</v>
      </c>
      <c r="F1" s="3" t="s">
        <v>7</v>
      </c>
    </row>
    <row r="2" spans="1:9" x14ac:dyDescent="0.25">
      <c r="A2" t="s">
        <v>9</v>
      </c>
      <c r="B2" t="s">
        <v>3</v>
      </c>
      <c r="C2" t="s">
        <v>4</v>
      </c>
      <c r="D2" t="s">
        <v>5</v>
      </c>
      <c r="E2" s="2">
        <f>1400%/100</f>
        <v>0.14000000000000001</v>
      </c>
      <c r="F2" s="2">
        <f>450%/100</f>
        <v>4.4999999999999998E-2</v>
      </c>
      <c r="G2" t="s">
        <v>11</v>
      </c>
    </row>
    <row r="3" spans="1:9" x14ac:dyDescent="0.25">
      <c r="A3">
        <v>1</v>
      </c>
      <c r="B3">
        <v>5</v>
      </c>
      <c r="E3" s="2">
        <f xml:space="preserve"> (1+E2)^(1/12) - 1</f>
        <v>1.0978851950173452E-2</v>
      </c>
      <c r="F3" s="2">
        <f xml:space="preserve"> (1+F2)^(1/12) - 1</f>
        <v>3.6748094004368514E-3</v>
      </c>
      <c r="G3" t="s">
        <v>10</v>
      </c>
      <c r="I3" s="7">
        <f>E3 - F3</f>
        <v>7.3040425497366002E-3</v>
      </c>
    </row>
    <row r="5" spans="1:9" x14ac:dyDescent="0.25">
      <c r="A5" s="4" t="s">
        <v>12</v>
      </c>
    </row>
    <row r="6" spans="1:9" x14ac:dyDescent="0.25">
      <c r="A6" t="s">
        <v>16</v>
      </c>
    </row>
    <row r="7" spans="1:9" x14ac:dyDescent="0.25">
      <c r="A7" t="s">
        <v>13</v>
      </c>
    </row>
    <row r="8" spans="1:9" x14ac:dyDescent="0.25">
      <c r="A8">
        <f>5*A3</f>
        <v>5</v>
      </c>
      <c r="B8">
        <f>A8*(1+E3)</f>
        <v>5.054894259750867</v>
      </c>
      <c r="C8" t="s">
        <v>14</v>
      </c>
      <c r="D8">
        <f>A8*(1+E3)^5</f>
        <v>5.2805645891777422</v>
      </c>
      <c r="E8" t="s">
        <v>23</v>
      </c>
      <c r="F8" s="15">
        <f>D8/5- 1</f>
        <v>5.6112917835548393E-2</v>
      </c>
      <c r="G8" t="s">
        <v>24</v>
      </c>
      <c r="H8" t="s">
        <v>25</v>
      </c>
    </row>
    <row r="9" spans="1:9" x14ac:dyDescent="0.25">
      <c r="A9" t="s">
        <v>64</v>
      </c>
      <c r="F9" s="1"/>
    </row>
    <row r="10" spans="1:9" x14ac:dyDescent="0.25">
      <c r="A10">
        <f>A8/5</f>
        <v>1</v>
      </c>
      <c r="B10">
        <f>B8/5</f>
        <v>1.0109788519501735</v>
      </c>
      <c r="D10">
        <f>D8/5</f>
        <v>1.0561129178355484</v>
      </c>
      <c r="E10" s="16">
        <f>D10/A10-1</f>
        <v>5.6112917835548393E-2</v>
      </c>
      <c r="F10" s="17" t="s">
        <v>12</v>
      </c>
      <c r="H10" t="s">
        <v>65</v>
      </c>
    </row>
    <row r="11" spans="1:9" x14ac:dyDescent="0.25">
      <c r="A11" t="s">
        <v>15</v>
      </c>
    </row>
    <row r="12" spans="1:9" x14ac:dyDescent="0.25">
      <c r="A12">
        <f>5*A3/B3</f>
        <v>1</v>
      </c>
      <c r="B12">
        <f>A12*(1+F3)</f>
        <v>1.0036748094004369</v>
      </c>
      <c r="C12" t="s">
        <v>17</v>
      </c>
      <c r="D12">
        <f>A12*(1+F3)^5</f>
        <v>1.0185095864104681</v>
      </c>
      <c r="E12" t="s">
        <v>18</v>
      </c>
      <c r="F12">
        <f>D12*B3</f>
        <v>5.0925479320523408</v>
      </c>
      <c r="G12" t="s">
        <v>22</v>
      </c>
      <c r="H12" s="1">
        <f>F12/5 - 1</f>
        <v>1.8509586410468071E-2</v>
      </c>
      <c r="I12" t="s">
        <v>24</v>
      </c>
    </row>
    <row r="13" spans="1:9" x14ac:dyDescent="0.25">
      <c r="A13" t="s">
        <v>19</v>
      </c>
      <c r="H13" s="1">
        <f>(1+H12)^(1/5) - 1</f>
        <v>3.6748094004368514E-3</v>
      </c>
      <c r="I13" t="s">
        <v>26</v>
      </c>
    </row>
    <row r="14" spans="1:9" x14ac:dyDescent="0.25">
      <c r="A14" t="s">
        <v>20</v>
      </c>
    </row>
    <row r="15" spans="1:9" x14ac:dyDescent="0.25">
      <c r="A15" t="s">
        <v>21</v>
      </c>
    </row>
    <row r="16" spans="1:9" x14ac:dyDescent="0.25">
      <c r="A16" t="s">
        <v>35</v>
      </c>
    </row>
    <row r="17" spans="1:12" x14ac:dyDescent="0.25">
      <c r="A17">
        <v>100</v>
      </c>
      <c r="B17" t="s">
        <v>27</v>
      </c>
      <c r="C17">
        <f>A17*B3</f>
        <v>500</v>
      </c>
      <c r="D17" t="s">
        <v>28</v>
      </c>
    </row>
    <row r="18" spans="1:12" x14ac:dyDescent="0.25">
      <c r="A18" t="s">
        <v>29</v>
      </c>
      <c r="B18">
        <f>A17*(1+0.5/100)^5</f>
        <v>102.52512531281242</v>
      </c>
      <c r="C18" t="s">
        <v>17</v>
      </c>
    </row>
    <row r="19" spans="1:12" x14ac:dyDescent="0.25">
      <c r="A19" t="s">
        <v>30</v>
      </c>
      <c r="B19">
        <f>C19/5</f>
        <v>105.61129178355483</v>
      </c>
      <c r="C19">
        <f>C17*(1+E3)^5</f>
        <v>528.05645891777419</v>
      </c>
    </row>
    <row r="21" spans="1:12" x14ac:dyDescent="0.25">
      <c r="B21">
        <f>B19-B18</f>
        <v>3.0861664707424126</v>
      </c>
    </row>
    <row r="22" spans="1:12" x14ac:dyDescent="0.25">
      <c r="B22" s="1">
        <f>B21/100</f>
        <v>3.0861664707424127E-2</v>
      </c>
      <c r="C22" t="s">
        <v>31</v>
      </c>
    </row>
    <row r="24" spans="1:12" x14ac:dyDescent="0.25">
      <c r="A24" t="s">
        <v>32</v>
      </c>
    </row>
    <row r="25" spans="1:12" x14ac:dyDescent="0.25">
      <c r="A25" t="s">
        <v>33</v>
      </c>
      <c r="B25" t="s">
        <v>34</v>
      </c>
      <c r="E25" s="5">
        <f>E10</f>
        <v>5.6112917835548393E-2</v>
      </c>
      <c r="J25" s="11"/>
    </row>
    <row r="26" spans="1:12" x14ac:dyDescent="0.25">
      <c r="A26" t="s">
        <v>36</v>
      </c>
    </row>
    <row r="27" spans="1:12" x14ac:dyDescent="0.25">
      <c r="A27" t="s">
        <v>37</v>
      </c>
      <c r="J27" s="2"/>
    </row>
    <row r="28" spans="1:12" x14ac:dyDescent="0.25">
      <c r="L28" s="2"/>
    </row>
    <row r="29" spans="1:12" x14ac:dyDescent="0.25">
      <c r="A29" s="6" t="s">
        <v>38</v>
      </c>
    </row>
    <row r="30" spans="1:12" x14ac:dyDescent="0.25">
      <c r="B30" t="s">
        <v>42</v>
      </c>
      <c r="C30">
        <v>5.1845999999999997</v>
      </c>
    </row>
    <row r="31" spans="1:12" x14ac:dyDescent="0.25">
      <c r="B31" t="s">
        <v>39</v>
      </c>
    </row>
    <row r="32" spans="1:12" x14ac:dyDescent="0.25">
      <c r="B32" t="s">
        <v>40</v>
      </c>
    </row>
    <row r="33" spans="1:9" x14ac:dyDescent="0.25">
      <c r="B33" t="s">
        <v>41</v>
      </c>
    </row>
    <row r="34" spans="1:9" x14ac:dyDescent="0.25">
      <c r="B34">
        <f>D8</f>
        <v>5.2805645891777422</v>
      </c>
      <c r="C34">
        <f>B34/C30</f>
        <v>1.0185095454186905</v>
      </c>
      <c r="D34" s="8">
        <f>(C34/1)-1</f>
        <v>1.8509545418690543E-2</v>
      </c>
      <c r="E34" t="s">
        <v>43</v>
      </c>
    </row>
    <row r="35" spans="1:9" x14ac:dyDescent="0.25">
      <c r="E35" s="8">
        <f>1*(1+F3)^5 - 1</f>
        <v>1.8509586410468071E-2</v>
      </c>
    </row>
    <row r="37" spans="1:9" x14ac:dyDescent="0.25">
      <c r="B37" t="s">
        <v>45</v>
      </c>
      <c r="F37" s="1">
        <f>C30/5 - 1</f>
        <v>3.6919999999999842E-2</v>
      </c>
      <c r="G37" s="7">
        <f>(1+F37)^(1/5) - 1</f>
        <v>7.2773079677448393E-3</v>
      </c>
      <c r="H37" t="s">
        <v>46</v>
      </c>
      <c r="I37" t="s">
        <v>47</v>
      </c>
    </row>
    <row r="38" spans="1:9" x14ac:dyDescent="0.25">
      <c r="B38" t="s">
        <v>44</v>
      </c>
      <c r="G38" s="2"/>
    </row>
    <row r="39" spans="1:9" x14ac:dyDescent="0.25">
      <c r="B39" t="s">
        <v>48</v>
      </c>
    </row>
    <row r="41" spans="1:9" x14ac:dyDescent="0.25">
      <c r="B41" t="s">
        <v>49</v>
      </c>
    </row>
    <row r="42" spans="1:9" x14ac:dyDescent="0.25">
      <c r="B42" s="12" t="s">
        <v>50</v>
      </c>
    </row>
    <row r="43" spans="1:9" x14ac:dyDescent="0.25">
      <c r="B43" t="s">
        <v>51</v>
      </c>
    </row>
    <row r="44" spans="1:9" x14ac:dyDescent="0.25">
      <c r="B44" s="11"/>
    </row>
    <row r="45" spans="1:9" ht="15.75" thickBot="1" x14ac:dyDescent="0.3"/>
    <row r="46" spans="1:9" ht="15.75" thickBot="1" x14ac:dyDescent="0.3">
      <c r="A46" s="14" t="s">
        <v>52</v>
      </c>
    </row>
    <row r="47" spans="1:9" x14ac:dyDescent="0.25">
      <c r="A47" t="s">
        <v>57</v>
      </c>
      <c r="B47">
        <v>5.1429999999999998</v>
      </c>
      <c r="C47" t="s">
        <v>63</v>
      </c>
    </row>
    <row r="48" spans="1:9" x14ac:dyDescent="0.25">
      <c r="A48" t="s">
        <v>58</v>
      </c>
      <c r="B48">
        <f xml:space="preserve"> 5.1545</f>
        <v>5.1544999999999996</v>
      </c>
      <c r="C48" t="s">
        <v>63</v>
      </c>
    </row>
    <row r="49" spans="1:5" x14ac:dyDescent="0.25">
      <c r="A49" t="s">
        <v>53</v>
      </c>
      <c r="B49" s="7">
        <f>(1+3.65/100)^(1/12) - 1</f>
        <v>2.9919380133611728E-3</v>
      </c>
      <c r="C49" t="s">
        <v>54</v>
      </c>
    </row>
    <row r="50" spans="1:5" x14ac:dyDescent="0.25">
      <c r="B50" s="7">
        <f>(1+3.65/100)^(1/252) - 1</f>
        <v>1.4227064686456181E-4</v>
      </c>
      <c r="C50" t="s">
        <v>55</v>
      </c>
    </row>
    <row r="52" spans="1:5" x14ac:dyDescent="0.25">
      <c r="A52" t="s">
        <v>56</v>
      </c>
    </row>
    <row r="53" spans="1:5" x14ac:dyDescent="0.25">
      <c r="A53" s="7">
        <f>(1+14.25/100)^(1/252) - 1</f>
        <v>5.2878596353256313E-4</v>
      </c>
      <c r="B53" t="s">
        <v>55</v>
      </c>
    </row>
    <row r="55" spans="1:5" x14ac:dyDescent="0.25">
      <c r="A55" s="13">
        <f>(1+A53)^6/(1+B50)^6</f>
        <v>1.0023210034367958</v>
      </c>
      <c r="B55" t="s">
        <v>60</v>
      </c>
    </row>
    <row r="56" spans="1:5" x14ac:dyDescent="0.25">
      <c r="A56">
        <f>B48/B47</f>
        <v>1.0022360489986388</v>
      </c>
      <c r="B56" t="s">
        <v>61</v>
      </c>
    </row>
    <row r="57" spans="1:5" x14ac:dyDescent="0.25">
      <c r="A57" t="s">
        <v>59</v>
      </c>
    </row>
    <row r="58" spans="1:5" x14ac:dyDescent="0.25">
      <c r="A58" t="s">
        <v>62</v>
      </c>
    </row>
    <row r="59" spans="1:5" x14ac:dyDescent="0.25">
      <c r="A59" s="33" t="s">
        <v>66</v>
      </c>
      <c r="B59" t="s">
        <v>72</v>
      </c>
    </row>
    <row r="60" spans="1:5" x14ac:dyDescent="0.25">
      <c r="A60" s="34" t="s">
        <v>67</v>
      </c>
    </row>
    <row r="62" spans="1:5" x14ac:dyDescent="0.25">
      <c r="A62" s="18" t="s">
        <v>68</v>
      </c>
      <c r="B62" s="21">
        <f>((1+A53)^6)*B47/B48 - 1</f>
        <v>9.387648356127265E-4</v>
      </c>
      <c r="C62" s="22">
        <f>(1+B62)^(252/6) - 1</f>
        <v>4.0196489794228851E-2</v>
      </c>
      <c r="D62" t="s">
        <v>71</v>
      </c>
    </row>
    <row r="63" spans="1:5" x14ac:dyDescent="0.25">
      <c r="B63" s="20" t="s">
        <v>69</v>
      </c>
      <c r="C63" s="23" t="s">
        <v>70</v>
      </c>
    </row>
    <row r="64" spans="1:5" x14ac:dyDescent="0.25">
      <c r="C64" s="1">
        <f>3.65/100</f>
        <v>3.6499999999999998E-2</v>
      </c>
      <c r="D64" s="26">
        <f>C62-C64</f>
        <v>3.6964897942288535E-3</v>
      </c>
      <c r="E64" s="6" t="s">
        <v>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F1F8-09CB-4553-B140-3906088949B6}">
  <dimension ref="A1:J24"/>
  <sheetViews>
    <sheetView workbookViewId="0">
      <selection activeCell="D24" sqref="D24"/>
    </sheetView>
  </sheetViews>
  <sheetFormatPr defaultRowHeight="15" x14ac:dyDescent="0.25"/>
  <cols>
    <col min="1" max="1" width="16.85546875" bestFit="1" customWidth="1"/>
    <col min="2" max="2" width="18" bestFit="1" customWidth="1"/>
    <col min="3" max="3" width="16.85546875" bestFit="1" customWidth="1"/>
  </cols>
  <sheetData>
    <row r="1" spans="1:8" ht="17.25" x14ac:dyDescent="0.3">
      <c r="A1" s="24" t="s">
        <v>73</v>
      </c>
    </row>
    <row r="2" spans="1:8" x14ac:dyDescent="0.25">
      <c r="A2" t="s">
        <v>74</v>
      </c>
    </row>
    <row r="3" spans="1:8" x14ac:dyDescent="0.25">
      <c r="A3" s="9">
        <v>20000</v>
      </c>
      <c r="B3" t="s">
        <v>75</v>
      </c>
      <c r="C3" s="10">
        <f>A3*50000</f>
        <v>1000000000</v>
      </c>
      <c r="D3" t="s">
        <v>76</v>
      </c>
    </row>
    <row r="4" spans="1:8" ht="17.25" x14ac:dyDescent="0.3">
      <c r="A4" s="24" t="s">
        <v>77</v>
      </c>
    </row>
    <row r="5" spans="1:8" x14ac:dyDescent="0.25">
      <c r="A5" t="s">
        <v>78</v>
      </c>
    </row>
    <row r="6" spans="1:8" ht="17.25" x14ac:dyDescent="0.3">
      <c r="A6" s="24" t="s">
        <v>79</v>
      </c>
    </row>
    <row r="7" spans="1:8" x14ac:dyDescent="0.25">
      <c r="A7" s="9">
        <f>50000*50000</f>
        <v>2500000000</v>
      </c>
      <c r="B7" t="s">
        <v>80</v>
      </c>
    </row>
    <row r="8" spans="1:8" ht="17.25" x14ac:dyDescent="0.3">
      <c r="A8" s="24" t="s">
        <v>81</v>
      </c>
    </row>
    <row r="9" spans="1:8" x14ac:dyDescent="0.25">
      <c r="A9">
        <v>550000</v>
      </c>
      <c r="B9" s="9">
        <f>A9*50000</f>
        <v>27500000000</v>
      </c>
      <c r="C9" t="s">
        <v>82</v>
      </c>
    </row>
    <row r="11" spans="1:8" x14ac:dyDescent="0.25">
      <c r="A11" t="s">
        <v>83</v>
      </c>
    </row>
    <row r="13" spans="1:8" ht="15.75" thickBot="1" x14ac:dyDescent="0.3"/>
    <row r="14" spans="1:8" ht="15.75" thickBot="1" x14ac:dyDescent="0.3">
      <c r="A14" s="30" t="s">
        <v>89</v>
      </c>
    </row>
    <row r="15" spans="1:8" s="31" customFormat="1" x14ac:dyDescent="0.25">
      <c r="A15" s="28" t="s">
        <v>85</v>
      </c>
      <c r="B15" s="29"/>
      <c r="C15" s="29"/>
      <c r="D15" s="29"/>
      <c r="E15" s="29"/>
      <c r="F15" s="29"/>
      <c r="G15" s="29"/>
      <c r="H15" s="29"/>
    </row>
    <row r="16" spans="1:8" s="31" customFormat="1" x14ac:dyDescent="0.25">
      <c r="A16" s="28" t="s">
        <v>86</v>
      </c>
      <c r="B16" s="29"/>
      <c r="C16" s="29"/>
      <c r="D16" s="29"/>
      <c r="E16" s="29"/>
      <c r="F16" s="29"/>
      <c r="G16" s="29"/>
      <c r="H16" s="29"/>
    </row>
    <row r="17" spans="1:10" s="31" customFormat="1" x14ac:dyDescent="0.25">
      <c r="A17" s="28" t="s">
        <v>87</v>
      </c>
      <c r="B17" s="29"/>
      <c r="C17" s="29"/>
      <c r="D17" s="29"/>
      <c r="E17" s="29"/>
      <c r="F17" s="29"/>
      <c r="G17" s="29"/>
      <c r="H17" s="29"/>
    </row>
    <row r="18" spans="1:10" s="31" customFormat="1" x14ac:dyDescent="0.25">
      <c r="A18" s="28" t="s">
        <v>88</v>
      </c>
      <c r="B18" s="29"/>
      <c r="C18" s="29"/>
      <c r="D18" s="29"/>
      <c r="E18" s="29"/>
      <c r="F18" s="29"/>
      <c r="G18" s="29"/>
      <c r="H18" s="29"/>
    </row>
    <row r="20" spans="1:10" x14ac:dyDescent="0.25">
      <c r="A20" s="28" t="s">
        <v>90</v>
      </c>
      <c r="B20" s="27"/>
      <c r="C20" s="27"/>
      <c r="D20" s="27"/>
      <c r="E20" s="27"/>
      <c r="F20" s="27"/>
      <c r="G20" s="27"/>
      <c r="H20" s="27"/>
      <c r="I20" s="27"/>
      <c r="J20" s="27"/>
    </row>
    <row r="22" spans="1:10" x14ac:dyDescent="0.25">
      <c r="A22" s="32" t="s">
        <v>91</v>
      </c>
      <c r="B22" t="s">
        <v>92</v>
      </c>
    </row>
    <row r="23" spans="1:10" x14ac:dyDescent="0.25">
      <c r="A23" t="s">
        <v>93</v>
      </c>
    </row>
    <row r="24" spans="1:10" x14ac:dyDescent="0.25">
      <c r="A24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0CE4-25CA-42FF-8949-99746E9D32AD}">
  <dimension ref="A1:XEY35"/>
  <sheetViews>
    <sheetView tabSelected="1" topLeftCell="XEB1" workbookViewId="0">
      <selection activeCell="XEY6" sqref="XEY6"/>
    </sheetView>
  </sheetViews>
  <sheetFormatPr defaultRowHeight="15" x14ac:dyDescent="0.25"/>
  <cols>
    <col min="1" max="1" width="27.28515625" customWidth="1"/>
    <col min="2" max="2" width="18" bestFit="1" customWidth="1"/>
    <col min="16379" max="16379" width="10.5703125" bestFit="1" customWidth="1"/>
  </cols>
  <sheetData>
    <row r="1" spans="1:3 16379:16379" x14ac:dyDescent="0.25">
      <c r="A1" t="s">
        <v>95</v>
      </c>
      <c r="XEY1" s="9">
        <v>7705</v>
      </c>
    </row>
    <row r="2" spans="1:3 16379:16379" x14ac:dyDescent="0.25">
      <c r="XEY2" s="9">
        <f>XEY1*6</f>
        <v>46230</v>
      </c>
    </row>
    <row r="3" spans="1:3 16379:16379" x14ac:dyDescent="0.25">
      <c r="A3" s="39" t="s">
        <v>75</v>
      </c>
      <c r="B3" s="41" t="s">
        <v>96</v>
      </c>
    </row>
    <row r="4" spans="1:3 16379:16379" x14ac:dyDescent="0.25">
      <c r="A4" s="40">
        <v>20000</v>
      </c>
      <c r="B4" s="42">
        <f>A4*50000</f>
        <v>1000000000</v>
      </c>
      <c r="XEY4" s="10">
        <f>XEY1/2</f>
        <v>3852.5</v>
      </c>
    </row>
    <row r="5" spans="1:3 16379:16379" x14ac:dyDescent="0.25">
      <c r="A5" s="40">
        <v>50000</v>
      </c>
      <c r="B5" s="42">
        <f t="shared" ref="B5:B6" si="0">A5*50000</f>
        <v>2500000000</v>
      </c>
      <c r="XEY5" s="10">
        <f>XEY1*0.3</f>
        <v>2311.5</v>
      </c>
    </row>
    <row r="6" spans="1:3 16379:16379" x14ac:dyDescent="0.25">
      <c r="A6" s="40">
        <v>550000</v>
      </c>
      <c r="B6" s="42">
        <f t="shared" si="0"/>
        <v>27500000000</v>
      </c>
    </row>
    <row r="8" spans="1:3 16379:16379" x14ac:dyDescent="0.25">
      <c r="A8" t="s">
        <v>97</v>
      </c>
    </row>
    <row r="9" spans="1:3 16379:16379" x14ac:dyDescent="0.25">
      <c r="A9" t="s">
        <v>98</v>
      </c>
      <c r="B9" s="9">
        <f>20000*50000</f>
        <v>1000000000</v>
      </c>
      <c r="C9" s="43">
        <f>B9-1000000000</f>
        <v>0</v>
      </c>
    </row>
    <row r="11" spans="1:3 16379:16379" x14ac:dyDescent="0.25">
      <c r="A11" s="20" t="s">
        <v>99</v>
      </c>
      <c r="B11" s="19"/>
    </row>
    <row r="13" spans="1:3 16379:16379" x14ac:dyDescent="0.25">
      <c r="A13" t="s">
        <v>100</v>
      </c>
    </row>
    <row r="14" spans="1:3 16379:16379" x14ac:dyDescent="0.25">
      <c r="A14" t="s">
        <v>101</v>
      </c>
    </row>
    <row r="15" spans="1:3 16379:16379" x14ac:dyDescent="0.25">
      <c r="A15" s="25" t="s">
        <v>104</v>
      </c>
      <c r="B15" t="s">
        <v>105</v>
      </c>
    </row>
    <row r="16" spans="1:3 16379:16379" x14ac:dyDescent="0.25">
      <c r="A16" t="s">
        <v>102</v>
      </c>
    </row>
    <row r="17" spans="1:3" x14ac:dyDescent="0.25">
      <c r="A17" t="s">
        <v>103</v>
      </c>
    </row>
    <row r="19" spans="1:3" ht="15.75" thickBot="1" x14ac:dyDescent="0.3">
      <c r="A19" t="s">
        <v>106</v>
      </c>
    </row>
    <row r="20" spans="1:3" ht="15.75" thickBot="1" x14ac:dyDescent="0.3">
      <c r="A20" s="37">
        <f>5.4675-5.4</f>
        <v>6.7499999999999893E-2</v>
      </c>
    </row>
    <row r="21" spans="1:3" x14ac:dyDescent="0.25">
      <c r="A21" t="s">
        <v>107</v>
      </c>
    </row>
    <row r="22" spans="1:3" x14ac:dyDescent="0.25">
      <c r="A22" t="s">
        <v>108</v>
      </c>
    </row>
    <row r="23" spans="1:3" x14ac:dyDescent="0.25">
      <c r="A23" t="s">
        <v>109</v>
      </c>
    </row>
    <row r="24" spans="1:3" x14ac:dyDescent="0.25">
      <c r="A24">
        <f>5.4/5.4675</f>
        <v>0.98765432098765438</v>
      </c>
    </row>
    <row r="25" spans="1:3" ht="15.75" thickBot="1" x14ac:dyDescent="0.3">
      <c r="A25">
        <f>1+0.025</f>
        <v>1.0249999999999999</v>
      </c>
    </row>
    <row r="26" spans="1:3" ht="15.75" thickBot="1" x14ac:dyDescent="0.3">
      <c r="A26" s="35">
        <f>A25*A24-1</f>
        <v>1.2345679012345734E-2</v>
      </c>
      <c r="B26" s="36" t="s">
        <v>110</v>
      </c>
    </row>
    <row r="28" spans="1:3" x14ac:dyDescent="0.25">
      <c r="A28" t="s">
        <v>111</v>
      </c>
    </row>
    <row r="29" spans="1:3" x14ac:dyDescent="0.25">
      <c r="A29" s="39" t="s">
        <v>112</v>
      </c>
      <c r="B29" s="39" t="s">
        <v>4</v>
      </c>
      <c r="C29" s="39" t="s">
        <v>110</v>
      </c>
    </row>
    <row r="30" spans="1:3" x14ac:dyDescent="0.25">
      <c r="A30" s="39">
        <v>1</v>
      </c>
      <c r="B30" s="39">
        <v>5.4675000000000002</v>
      </c>
      <c r="C30" s="38">
        <f>(5.4/B30)*(1+0.025) - 1</f>
        <v>1.2345679012345734E-2</v>
      </c>
    </row>
    <row r="31" spans="1:3" x14ac:dyDescent="0.25">
      <c r="A31" s="39">
        <v>2</v>
      </c>
      <c r="B31" s="39">
        <v>5.49</v>
      </c>
      <c r="C31" s="38">
        <f>(5.4/B31)*(1+0.025) - 1</f>
        <v>8.1967213114753079E-3</v>
      </c>
    </row>
    <row r="32" spans="1:3" x14ac:dyDescent="0.25">
      <c r="A32" s="39">
        <v>3</v>
      </c>
      <c r="B32" s="39">
        <v>5.52</v>
      </c>
      <c r="C32" s="38">
        <f>(5.4/B32)*(1+0.025) - 1</f>
        <v>2.7173913043478937E-3</v>
      </c>
    </row>
    <row r="34" spans="1:1" x14ac:dyDescent="0.25">
      <c r="A34" t="s">
        <v>113</v>
      </c>
    </row>
    <row r="35" spans="1:1" x14ac:dyDescent="0.25">
      <c r="A35" t="s">
        <v>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Rascunho</vt:lpstr>
      <vt:lpstr>BC</vt:lpstr>
      <vt:lpstr>Exercicios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Laidler Vidal Cunha</dc:creator>
  <cp:lastModifiedBy>Thiago Laidler Vidal Cunha</cp:lastModifiedBy>
  <dcterms:created xsi:type="dcterms:W3CDTF">2026-06-22T15:15:34Z</dcterms:created>
  <dcterms:modified xsi:type="dcterms:W3CDTF">2026-06-22T21:27:20Z</dcterms:modified>
</cp:coreProperties>
</file>